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ddba3c61445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d04dcbb123bd4f14"/>
    <x:sheet xmlns:r="http://schemas.openxmlformats.org/officeDocument/2006/relationships" name="Data sources" sheetId="2" r:id="R26216a403c924f91"/>
    <x:sheet xmlns:r="http://schemas.openxmlformats.org/officeDocument/2006/relationships" name="Raw schemas" sheetId="3" r:id="R2a2ad13f3af0442f"/>
    <x:sheet xmlns:r="http://schemas.openxmlformats.org/officeDocument/2006/relationships" name="Methods and code" sheetId="4" r:id="Rc64843641db244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526475"/>
      <x:name val="Carlito"/>
    </x:font>
    <x:font>
      <x:b/>
      <x:sz val="11"/>
      <x:color rgb="FF1532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324F"/>
      </x:patternFill>
    </x:fill>
    <x:fill>
      <x:patternFill patternType="solid">
        <x:fgColor rgb="FF216B78"/>
      </x:patternFill>
    </x:fill>
    <x:fill>
      <x:patternFill patternType="solid">
        <x:fgColor rgb="FFE6F1F3"/>
      </x:patternFill>
    </x:fill>
    <x:fill>
      <x:patternFill patternType="solid">
        <x:fgColor rgb="FFA86419"/>
      </x:patternFill>
    </x:fill>
    <x:fill>
      <x:patternFill patternType="solid">
        <x:fgColor rgb="FFFFF5E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ff97ae0ae40ce" /><Relationship Type="http://schemas.openxmlformats.org/officeDocument/2006/relationships/theme" Target="/xl/theme/theme1.xml" Id="Rc8bd242d7acb4a99" /><Relationship Type="http://schemas.openxmlformats.org/officeDocument/2006/relationships/sharedStrings" Target="/xl/sharedStrings.xml" Id="Rae4704fe32f841c8" /><Relationship Type="http://schemas.openxmlformats.org/officeDocument/2006/relationships/worksheet" Target="/xl/worksheets/sheet1.xml" Id="Rd04dcbb123bd4f14" /><Relationship Type="http://schemas.openxmlformats.org/officeDocument/2006/relationships/worksheet" Target="/xl/worksheets/sheet2.xml" Id="R26216a403c924f91" /><Relationship Type="http://schemas.openxmlformats.org/officeDocument/2006/relationships/worksheet" Target="/xl/worksheets/sheet3.xml" Id="R2a2ad13f3af0442f" /><Relationship Type="http://schemas.openxmlformats.org/officeDocument/2006/relationships/worksheet" Target="/xl/worksheets/sheet4.xml" Id="Rc64843641db2446d" /></Relationships>
</file>

<file path=xl/tables/table1.xml><?xml version="1.0" encoding="utf-8"?>
<x:table xmlns:x="http://schemas.openxmlformats.org/spreadsheetml/2006/main" id="1" name="SourceRegistry" displayName="SourceRegistry" ref="A4:K27" headerRowCount="1" totalsRowCount="0" totalsRowShown="0">
  <x:tableColumns count="11">
    <x:tableColumn id="1" name="ID"/>
    <x:tableColumn id="2" name="Source"/>
    <x:tableColumn id="3" name="Priority"/>
    <x:tableColumn id="4" name="Coverage"/>
    <x:tableColumn id="5" name="Reported size"/>
    <x:tableColumn id="6" name="Inspection level"/>
    <x:tableColumn id="7" name="Use"/>
    <x:tableColumn id="8" name="Rights note"/>
    <x:tableColumn id="9" name="Source URL"/>
    <x:tableColumn id="10" name="Acquisition status"/>
    <x:tableColumn id="11" name="Own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SchemaRegistry" displayName="RawSchemaRegistry" ref="A4:H27" headerRowCount="1" totalsRowCount="0" totalsRowShown="0">
  <x:tableColumns count="8">
    <x:tableColumn id="1" name="ID"/>
    <x:tableColumn id="2" name="Source"/>
    <x:tableColumn id="3" name="Raw format"/>
    <x:tableColumn id="4" name="Fields / structure"/>
    <x:tableColumn id="5" name="Evidence level"/>
    <x:tableColumn id="6" name="Acquisition"/>
    <x:tableColumn id="7" name="File / code URL"/>
    <x:tableColumn id="8" name="Limi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hodRegistry" displayName="MethodRegistry" ref="A4:J13" headerRowCount="1" totalsRowCount="0" totalsRowShown="0">
  <x:tableColumns count="10">
    <x:tableColumn id="1" name="ID"/>
    <x:tableColumn id="2" name="Method"/>
    <x:tableColumn id="3" name="Priority"/>
    <x:tableColumn id="4" name="Reuse"/>
    <x:tableColumn id="5" name="Implementation"/>
    <x:tableColumn id="6" name="Entry points"/>
    <x:tableColumn id="7" name="Format"/>
    <x:tableColumn id="8" name="Caveat"/>
    <x:tableColumn id="9" name="Paper / docs"/>
    <x:tableColumn id="10" name="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0688f3f2714a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8f293cfedc41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8ed1db968546a7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6" customHeight="1">
      <x:c r="A1" s="20" t="str">
        <x:v>COUNTRY PERSONA
POST-TRAINING PLAYBOOK</x:v>
      </x:c>
      <x:c r="B1" s="20"/>
      <x:c r="C1" s="20"/>
      <x:c r="D1" s="20"/>
      <x:c r="E1" s="20"/>
      <x:c r="F1" s="20"/>
      <x:c r="G1" s="20"/>
      <x:c r="H1" s="20"/>
    </x:row>
    <x:row r="2" ht="26" customHeight="1">
      <x:c r="A2" s="20"/>
      <x:c r="B2" s="20"/>
      <x:c r="C2" s="20"/>
      <x:c r="D2" s="20"/>
      <x:c r="E2" s="20"/>
      <x:c r="F2" s="20"/>
      <x:c r="G2" s="20"/>
      <x:c r="H2" s="20"/>
    </x:row>
    <x:row r="3" ht="30" customHeight="1">
      <x:c r="A3" s="7" t="str">
        <x:v>Inspected 09 September 2026 • China / Germany pilot • Source-backed institutional roles</x:v>
      </x:c>
      <x:c r="B3" s="7"/>
      <x:c r="C3" s="7"/>
      <x:c r="D3" s="7"/>
      <x:c r="E3" s="7"/>
      <x:c r="F3" s="7"/>
      <x:c r="G3" s="7"/>
      <x:c r="H3" s="7"/>
    </x:row>
    <x:row r="5" ht="30" customHeight="1">
      <x:c r="A5" s="12" t="str">
        <x:v>DATA SOURCES</x:v>
      </x:c>
      <x:c r="B5" s="12" t="str">
        <x:v>METHODS / CODE</x:v>
      </x:c>
      <x:c r="C5" s="12" t="str">
        <x:v>P0 SOURCES</x:v>
      </x:c>
      <x:c r="D5" s="12" t="str">
        <x:v>LOCAL TESTS</x:v>
      </x:c>
    </x:row>
    <x:row r="6" ht="32" customHeight="1">
      <x:c r="A6" s="24" t="n">
        <x:f>COUNTA('Data sources'!A5:A27)</x:f>
        <x:v>23</x:v>
      </x:c>
      <x:c r="B6" s="24" t="n">
        <x:f>COUNTA('Methods and code'!A5:A13)</x:f>
        <x:v>9</x:v>
      </x:c>
      <x:c r="C6" s="24" t="n">
        <x:f>COUNTIF('Data sources'!C5:C27,"P0")</x:f>
        <x:v>9</x:v>
      </x:c>
      <x:c r="D6" s="24" t="str">
        <x:v>12 passed</x:v>
      </x:c>
    </x:row>
    <x:row r="8" ht="24" customHeight="1">
      <x:c r="A8" s="11" t="str">
        <x:v>RECOMMENDED START</x:v>
      </x:c>
      <x:c r="B8" s="11"/>
      <x:c r="C8" s="11"/>
      <x:c r="D8" s="11"/>
      <x:c r="E8" s="11"/>
      <x:c r="F8" s="11"/>
      <x:c r="G8" s="11"/>
      <x:c r="H8" s="11"/>
    </x:row>
    <x:row r="9" ht="37" customHeight="1">
      <x:c r="A9" s="16" t="str">
        <x:v>Data: UN speeches + real foreign-ministry Q&amp;A + votes + UPR recommendations and responses.</x:v>
      </x:c>
      <x:c r="B9" s="16"/>
      <x:c r="C9" s="16"/>
      <x:c r="D9" s="16"/>
      <x:c r="E9" s="16"/>
      <x:c r="F9" s="16"/>
      <x:c r="G9" s="16"/>
      <x:c r="H9" s="16"/>
    </x:row>
    <x:row r="10" ht="37" customHeight="1">
      <x:c r="A10" s="16" t="str">
        <x:v>Model: shared 4–8B instruction backbone; country-conditioned SFT and dated retrieval.</x:v>
      </x:c>
      <x:c r="B10" s="16"/>
      <x:c r="C10" s="16"/>
      <x:c r="D10" s="16"/>
      <x:c r="E10" s="16"/>
      <x:c r="F10" s="16"/>
      <x:c r="G10" s="16"/>
      <x:c r="H10" s="16"/>
    </x:row>
    <x:row r="11" ht="37" customHeight="1">
      <x:c r="A11" s="16" t="str">
        <x:v>Methods: TRL / PEFT → RoleLLM-style grounded data → optional Open Character Training → SOTOPIA-π.</x:v>
      </x:c>
      <x:c r="B11" s="16"/>
      <x:c r="C11" s="16"/>
      <x:c r="D11" s="16"/>
      <x:c r="E11" s="16"/>
      <x:c r="F11" s="16"/>
      <x:c r="G11" s="16"/>
      <x:c r="H11" s="16"/>
    </x:row>
    <x:row r="12" ht="37" customHeight="1">
      <x:c r="A12" s="16" t="str">
        <x:v>Evaluation: prompt / prompt + retrieval / shared SFT / country adapters; identical evidence and budgets.</x:v>
      </x:c>
      <x:c r="B12" s="16"/>
      <x:c r="C12" s="16"/>
      <x:c r="D12" s="16"/>
      <x:c r="E12" s="16"/>
      <x:c r="F12" s="16"/>
      <x:c r="G12" s="16"/>
      <x:c r="H12" s="16"/>
    </x:row>
    <x:row r="14" ht="24" customHeight="1">
      <x:c r="A14" s="29" t="str">
        <x:v>READ BEFORE TRAINING</x:v>
      </x:c>
      <x:c r="B14" s="29"/>
      <x:c r="C14" s="29"/>
      <x:c r="D14" s="29"/>
      <x:c r="E14" s="29"/>
      <x:c r="F14" s="29"/>
      <x:c r="G14" s="29"/>
      <x:c r="H14" s="29"/>
    </x:row>
    <x:row r="15" ht="37" customHeight="1">
      <x:c r="A15" s="33" t="str">
        <x:v>Full corpora were not acquired. Some schemas are established only by papers or importers; each registry row records the inspection level.</x:v>
      </x:c>
      <x:c r="B15" s="33"/>
      <x:c r="C15" s="33"/>
      <x:c r="D15" s="33"/>
      <x:c r="E15" s="33"/>
      <x:c r="F15" s="33"/>
      <x:c r="G15" s="33"/>
      <x:c r="H15" s="33"/>
    </x:row>
    <x:row r="16" ht="37" customHeight="1">
      <x:c r="A16" s="33" t="str">
        <x:v>Official UNGA voting release: non-commercial use with attribution. Source-data rights and code licences are separate.</x:v>
      </x:c>
      <x:c r="B16" s="33"/>
      <x:c r="C16" s="33"/>
      <x:c r="D16" s="33"/>
      <x:c r="E16" s="33"/>
      <x:c r="F16" s="33"/>
      <x:c r="G16" s="33"/>
      <x:c r="H16" s="33"/>
    </x:row>
    <x:row r="17" ht="37" customHeight="1">
      <x:c r="A17" s="33" t="str">
        <x:v>Freeze event-family and temporal splits before synthesis, mid-training, SFT, preferences or retrieval indexing.</x:v>
      </x:c>
      <x:c r="B17" s="33"/>
      <x:c r="C17" s="33"/>
      <x:c r="D17" s="33"/>
      <x:c r="E17" s="33"/>
      <x:c r="F17" s="33"/>
      <x:c r="G17" s="33"/>
      <x:c r="H17" s="33"/>
    </x:row>
    <x:row r="18" ht="37" customHeight="1">
      <x:c r="A18" s="33" t="str">
        <x:v>The QLoRA starter was documentation-checked and compiled, not GPU-tested. No trained model or full-corpus audit is claimed.</x:v>
      </x:c>
      <x:c r="B18" s="33"/>
      <x:c r="C18" s="33"/>
      <x:c r="D18" s="33"/>
      <x:c r="E18" s="33"/>
      <x:c r="F18" s="33"/>
      <x:c r="G18" s="33"/>
      <x:c r="H18" s="33"/>
    </x:row>
    <x:row r="19" ht="37" customHeight="1">
      <x:c r="A19" s="33" t="str">
        <x:v>Medical workstream: the 70 RWTH cases and their derivatives remain final-evaluation-only.</x:v>
      </x:c>
      <x:c r="B19" s="33"/>
      <x:c r="C19" s="33"/>
      <x:c r="D19" s="33"/>
      <x:c r="E19" s="33"/>
      <x:c r="F19" s="33"/>
      <x:c r="G19" s="33"/>
      <x:c r="H19" s="33"/>
    </x:row>
    <x:row r="21" ht="34" customHeight="1">
      <x:c r="A21" s="7" t="str">
        <x:v>STARTER KIT: README.md • playbook.md • schemas.md • source/method JSON and CSV • prepare.py • train_sft.py</x:v>
      </x:c>
      <x:c r="B21" s="7"/>
      <x:c r="C21" s="7"/>
      <x:c r="D21" s="7"/>
      <x:c r="E21" s="7"/>
      <x:c r="F21" s="7"/>
      <x:c r="G21" s="7"/>
      <x:c r="H21" s="7"/>
    </x:row>
  </x:sheetData>
  <x:mergeCells>
    <x:mergeCell ref="A1:H2"/>
    <x:mergeCell ref="A3:H3"/>
    <x:mergeCell ref="A8:H8"/>
    <x:mergeCell ref="A14:H14"/>
    <x:mergeCell ref="A9:H9"/>
    <x:mergeCell ref="A10:H10"/>
    <x:mergeCell ref="A11:H11"/>
    <x:mergeCell ref="A12:H12"/>
    <x:mergeCell ref="A15:H15"/>
    <x:mergeCell ref="A16:H16"/>
    <x:mergeCell ref="A17:H17"/>
    <x:mergeCell ref="A18:H18"/>
    <x:mergeCell ref="A19:H19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0" hidden="0" customWidth="1"/>
    <x:col min="4" max="4" width="32" hidden="0" customWidth="1"/>
    <x:col min="5" max="5" width="32" hidden="0" customWidth="1"/>
    <x:col min="6" max="6" width="28" hidden="0" customWidth="1"/>
    <x:col min="7" max="7" width="40" hidden="0" customWidth="1"/>
    <x:col min="8" max="8" width="40" hidden="0" customWidth="1"/>
    <x:col min="9" max="9" width="40" hidden="0" customWidth="1"/>
    <x:col min="10" max="10" width="22" hidden="0" customWidth="1"/>
    <x:col min="11" max="11" width="20" hidden="0" customWidth="1"/>
  </x:cols>
  <x:sheetData>
    <x:row r="1" ht="32" customHeight="1">
      <x:c r="A1" s="3" t="str">
        <x:v>COUNTRY PERSONA • SOURCE REGISTRY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Located sources, not acquired corpora. P0 = first acquisition/evaluation; P1 = expand; P2 = optional or separate workstream.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2" t="str">
        <x:v>ID</x:v>
      </x:c>
      <x:c r="B4" s="12" t="str">
        <x:v>Source</x:v>
      </x:c>
      <x:c r="C4" s="12" t="str">
        <x:v>Priority</x:v>
      </x:c>
      <x:c r="D4" s="12" t="str">
        <x:v>Coverage</x:v>
      </x:c>
      <x:c r="E4" s="12" t="str">
        <x:v>Reported size</x:v>
      </x:c>
      <x:c r="F4" s="12" t="str">
        <x:v>Inspection level</x:v>
      </x:c>
      <x:c r="G4" s="12" t="str">
        <x:v>Use</x:v>
      </x:c>
      <x:c r="H4" s="12" t="str">
        <x:v>Rights note</x:v>
      </x:c>
      <x:c r="I4" s="12" t="str">
        <x:v>Source URL</x:v>
      </x:c>
      <x:c r="J4" s="12" t="str">
        <x:v>Acquisition status</x:v>
      </x:c>
      <x:c r="K4" s="12" t="str">
        <x:v>Owner</x:v>
      </x:c>
    </x:row>
    <x:row r="5" ht="140" customHeight="1">
      <x:c r="A5" s="17" t="str">
        <x:v>D01</x:v>
      </x:c>
      <x:c r="B5" s="17" t="str">
        <x:v>UNBench</x:v>
      </x:c>
      <x:c r="C5" s="17" t="str">
        <x:v>P0</x:v>
      </x:c>
      <x:c r="D5" s="17" t="str">
        <x:v>UNSC; paper covers 1994–2024</x:v>
      </x:c>
      <x:c r="E5" s="17" t="str">
        <x:v>GitHub: about 30 samples per task; full release separate</x:v>
      </x:c>
      <x:c r="F5" s="17" t="str">
        <x:v>Raw schema inspected</x:v>
      </x:c>
      <x:c r="G5" s="17" t="str">
        <x:v>Vote SFT; statement SFT; frozen held-out evaluation</x:v>
      </x:c>
      <x:c r="H5" s="17" t="str">
        <x:v>Repo MIT; underlying UN material requires separate review.</x:v>
      </x:c>
      <x:c r="I5" s="17" t="str">
        <x:v>https://github.com/yueqingliang1/UNBench</x:v>
      </x:c>
      <x:c r="J5" s="17" t="str">
        <x:v>Not acquired</x:v>
      </x:c>
      <x:c r="K5" s="17" t="str"/>
    </x:row>
    <x:row r="6" ht="140" customHeight="1">
      <x:c r="A6" s="17" t="str">
        <x:v>D02</x:v>
      </x:c>
      <x:c r="B6" s="17" t="str">
        <x:v>UNSC Meetings and Speeches</x:v>
      </x:c>
      <x:c r="C6" s="17" t="str">
        <x:v>P0</x:v>
      </x:c>
      <x:c r="D6" s="17" t="str">
        <x:v>1946–2024; English official records</x:v>
      </x:c>
      <x:c r="E6" s="17" t="str">
        <x:v>Over 160,000 statements; over 87 million words</x:v>
      </x:c>
      <x:c r="F6" s="17" t="str">
        <x:v>Documentation inspected</x:v>
      </x:c>
      <x:c r="G6" s="17" t="str">
        <x:v>Main country-conditioned speech pool; context reconstruction; optional domain adaptation</x:v>
      </x:c>
      <x:c r="H6" s="17" t="str">
        <x:v>Dataset-specific terms not verified; article licence is not sufficient.</x:v>
      </x:c>
      <x:c r="I6" s="17" t="str">
        <x:v>https://academic.oup.com/jpr/article/63/4/735/8559606</x:v>
      </x:c>
      <x:c r="J6" s="17" t="str">
        <x:v>Not acquired</x:v>
      </x:c>
      <x:c r="K6" s="17" t="str"/>
    </x:row>
    <x:row r="7" ht="140" customHeight="1">
      <x:c r="A7" s="17" t="str">
        <x:v>D03</x:v>
      </x:c>
      <x:c r="B7" s="17" t="str">
        <x:v>UN Security Council Debates</x:v>
      </x:c>
      <x:c r="C7" s="17" t="str">
        <x:v>P1</x:v>
      </x:c>
      <x:c r="D7" s="17" t="str">
        <x:v>1992–2023; English</x:v>
      </x:c>
      <x:c r="E7" s="17" t="str">
        <x:v>106,302 speeches; 6,233 meetings</x:v>
      </x:c>
      <x:c r="F7" s="17" t="str">
        <x:v>Documentation inspected</x:v>
      </x:c>
      <x:c r="G7" s="17" t="str">
        <x:v>Alternative to D02; country coverage audit</x:v>
      </x:c>
      <x:c r="H7" s="17" t="str">
        <x:v>Release terms pending verification.</x:v>
      </x:c>
      <x:c r="I7" s="17" t="str">
        <x:v>https://arxiv.org/html/1906.10969v3</x:v>
      </x:c>
      <x:c r="J7" s="17" t="str">
        <x:v>Not acquired</x:v>
      </x:c>
      <x:c r="K7" s="17" t="str"/>
    </x:row>
    <x:row r="8" ht="140" customHeight="1">
      <x:c r="A8" s="17" t="str">
        <x:v>D04</x:v>
      </x:c>
      <x:c r="B8" s="17" t="str">
        <x:v>UNGA Speech Corpus — Speaking Volumes</x:v>
      </x:c>
      <x:c r="C8" s="17" t="str">
        <x:v>P1</x:v>
      </x:c>
      <x:c r="D8" s="17" t="str">
        <x:v>1993–2018</x:v>
      </x:c>
      <x:c r="E8" s="17" t="str">
        <x:v>Over 34,000 speeches</x:v>
      </x:c>
      <x:c r="F8" s="17" t="str">
        <x:v>Documentation inspected</x:v>
      </x:c>
      <x:c r="G8" s="17" t="str">
        <x:v>Broader institutional coverage, especially non-P5 countries</x:v>
      </x:c>
      <x:c r="H8" s="17" t="str">
        <x:v>Not verified.</x:v>
      </x:c>
      <x:c r="I8" s="17" t="str">
        <x:v>https://www.linneaturco.com/research</x:v>
      </x:c>
      <x:c r="J8" s="17" t="str">
        <x:v>Not acquired</x:v>
      </x:c>
      <x:c r="K8" s="17" t="str"/>
    </x:row>
    <x:row r="9" ht="140" customHeight="1">
      <x:c r="A9" s="17" t="str">
        <x:v>D05</x:v>
      </x:c>
      <x:c r="B9" s="17" t="str">
        <x:v>United Nations General Debate Corpus (UNGDC)</x:v>
      </x:c>
      <x:c r="C9" s="17" t="str">
        <x:v>P1</x:v>
      </x:c>
      <x:c r="D9" s="17" t="str">
        <x:v>Longitudinal from 1946; importer documents 1946–2025 release</x:v>
      </x:c>
      <x:c r="E9" s="17" t="str">
        <x:v>Published corpus: over 10,000 speeches; exact current count not audited</x:v>
      </x:c>
      <x:c r="F9" s="17" t="str">
        <x:v>Importer schema inspected</x:v>
      </x:c>
      <x:c r="G9" s="17" t="str">
        <x:v>Diplomatic language adaptation; country/topic summaries; grounded QA</x:v>
      </x:c>
      <x:c r="H9" s="17" t="str">
        <x:v>Verify exact Dataverse release terms.</x:v>
      </x:c>
      <x:c r="I9" s="17" t="str">
        <x:v>https://dataverse.harvard.edu/dataset.xhtml?persistentId=doi:10.7910/DVN/0TJX8Y</x:v>
      </x:c>
      <x:c r="J9" s="17" t="str">
        <x:v>Not acquired</x:v>
      </x:c>
      <x:c r="K9" s="17" t="str"/>
    </x:row>
    <x:row r="10" ht="140" customHeight="1">
      <x:c r="A10" s="17" t="str">
        <x:v>D06</x:v>
      </x:c>
      <x:c r="B10" s="17" t="str">
        <x:v>Official UN General Assembly Voting Data</x:v>
      </x:c>
      <x:c r="C10" s="17" t="str">
        <x:v>P0</x:v>
      </x:c>
      <x:c r="D10" s="17" t="str">
        <x:v>11 Dec 1946–30 Dec 2025; V5, published 6 Feb 2026</x:v>
      </x:c>
      <x:c r="E10" s="17" t="str">
        <x:v>947,434 country-resolution rows (publisher metadata)</x:v>
      </x:c>
      <x:c r="F10" s="17" t="str">
        <x:v>Metadata + importer inspected</x:v>
      </x:c>
      <x:c r="G10" s="17" t="str">
        <x:v>Recorded-vote prediction; country similarity controls; join to resolution text</x:v>
      </x:c>
      <x:c r="H10" s="17" t="str">
        <x:v>UN metadata: non-commercial use with attribution; do not equate public access with unrestricted reuse.</x:v>
      </x:c>
      <x:c r="I10" s="17" t="str">
        <x:v>https://digitallibrary.un.org/record/4060887?ln=en</x:v>
      </x:c>
      <x:c r="J10" s="17" t="str">
        <x:v>Not acquired</x:v>
      </x:c>
      <x:c r="K10" s="17" t="str"/>
    </x:row>
    <x:row r="11" ht="140" customHeight="1">
      <x:c r="A11" s="17" t="str">
        <x:v>D07</x:v>
      </x:c>
      <x:c r="B11" s="17" t="str">
        <x:v>Official UN Security Council Voting Data</x:v>
      </x:c>
      <x:c r="C11" s="17" t="str">
        <x:v>P1</x:v>
      </x:c>
      <x:c r="D11" s="17" t="str">
        <x:v>Official longitudinal release; inspect current coverage metadata</x:v>
      </x:c>
      <x:c r="E11" s="17" t="str">
        <x:v>Not independently counted</x:v>
      </x:c>
      <x:c r="F11" s="17" t="str">
        <x:v>Metadata + importer inspected</x:v>
      </x:c>
      <x:c r="G11" s="17" t="str">
        <x:v>UNSC vote labels and linked decision tasks</x:v>
      </x:c>
      <x:c r="H11" s="17" t="str">
        <x:v>Check this release separately; do not assume terms from D06.</x:v>
      </x:c>
      <x:c r="I11" s="17" t="str">
        <x:v>https://digitallibrary.un.org/record/4055387</x:v>
      </x:c>
      <x:c r="J11" s="17" t="str">
        <x:v>Not acquired</x:v>
      </x:c>
      <x:c r="K11" s="17" t="str"/>
    </x:row>
    <x:row r="12" ht="140" customHeight="1">
      <x:c r="A12" s="17" t="str">
        <x:v>D08</x:v>
      </x:c>
      <x:c r="B12" s="17" t="str">
        <x:v>Official General Debate speech metadata</x:v>
      </x:c>
      <x:c r="C12" s="17" t="str">
        <x:v>P1</x:v>
      </x:c>
      <x:c r="D12" s="17" t="str">
        <x:v>Importer documents sessions 1–79; Jan 2026 file</x:v>
      </x:c>
      <x:c r="E12" s="17" t="str">
        <x:v>Not independently counted</x:v>
      </x:c>
      <x:c r="F12" s="17" t="str">
        <x:v>Importer schema inspected</x:v>
      </x:c>
      <x:c r="G12" s="17" t="str">
        <x:v>Attach speaker, document and exact date to annual speeches</x:v>
      </x:c>
      <x:c r="H12" s="17" t="str">
        <x:v>Release-specific terms pending.</x:v>
      </x:c>
      <x:c r="I12" s="17" t="str">
        <x:v>https://digitallibrary.un.org/record/4067189</x:v>
      </x:c>
      <x:c r="J12" s="17" t="str">
        <x:v>Not acquired</x:v>
      </x:c>
      <x:c r="K12" s="17" t="str"/>
    </x:row>
    <x:row r="13" ht="140" customHeight="1">
      <x:c r="A13" s="17" t="str">
        <x:v>D09</x:v>
      </x:c>
      <x:c r="B13" s="17" t="str">
        <x:v>Chinese MFA Press Conferences Corpus</x:v>
      </x:c>
      <x:c r="C13" s="17" t="str">
        <x:v>P0</x:v>
      </x:c>
      <x:c r="D13" s="17" t="str">
        <x:v>15 Oct 2002–31 Dec 2020; English</x:v>
      </x:c>
      <x:c r="E13" s="17" t="str">
        <x:v>22,946 single-topic QA dyads (paper)</x:v>
      </x:c>
      <x:c r="F13" s="17" t="str">
        <x:v>Documentation inspected</x:v>
      </x:c>
      <x:c r="G13" s="17" t="str">
        <x:v>Real spokesperson QA SFT; topic-conditioned responses</x:v>
      </x:c>
      <x:c r="H13" s="17" t="str">
        <x:v>Dataset terms pending; do not infer from article licence.</x:v>
      </x:c>
      <x:c r="I13" s="17" t="str">
        <x:v>https://link.springer.com/article/10.1007/s11366-021-09762-3</x:v>
      </x:c>
      <x:c r="J13" s="17" t="str">
        <x:v>Not acquired</x:v>
      </x:c>
      <x:c r="K13" s="17" t="str"/>
    </x:row>
    <x:row r="14" ht="140" customHeight="1">
      <x:c r="A14" s="17" t="str">
        <x:v>D10</x:v>
      </x:c>
      <x:c r="B14" s="17" t="str">
        <x:v>Chinese MFA current press-conference archive</x:v>
      </x:c>
      <x:c r="C14" s="17" t="str">
        <x:v>P1</x:v>
      </x:c>
      <x:c r="D14" s="17" t="str">
        <x:v>Continuing dated archive; inspected September 2026</x:v>
      </x:c>
      <x:c r="E14" s="17" t="str">
        <x:v>No audited bulk count</x:v>
      </x:c>
      <x:c r="F14" s="17" t="str">
        <x:v>Live archive inspected</x:v>
      </x:c>
      <x:c r="G14" s="17" t="str">
        <x:v>Extend D09 temporally; dated retrieval; real multi-turn follow-ups</x:v>
      </x:c>
      <x:c r="H14" s="17" t="str">
        <x:v>Check source terms and permitted collection rates.</x:v>
      </x:c>
      <x:c r="I14" s="17" t="str">
        <x:v>https://www.fmprc.gov.cn/eng/xw/fyrbt/</x:v>
      </x:c>
      <x:c r="J14" s="17" t="str">
        <x:v>Not acquired</x:v>
      </x:c>
      <x:c r="K14" s="17" t="str"/>
    </x:row>
    <x:row r="15" ht="140" customHeight="1">
      <x:c r="A15" s="17" t="str">
        <x:v>D11</x:v>
      </x:c>
      <x:c r="B15" s="17" t="str">
        <x:v>China UN Mission — Remarks</x:v>
      </x:c>
      <x:c r="C15" s="17" t="str">
        <x:v>P0</x:v>
      </x:c>
      <x:c r="D15" s="17" t="str">
        <x:v>Dated current/historical archive</x:v>
      </x:c>
      <x:c r="E15" s="17" t="str">
        <x:v>No audited bulk count</x:v>
      </x:c>
      <x:c r="F15" s="17" t="str">
        <x:v>Live archive inspected</x:v>
      </x:c>
      <x:c r="G15" s="17" t="str">
        <x:v>China role evidence and current-policy retrieval</x:v>
      </x:c>
      <x:c r="H15" s="17" t="str">
        <x:v>Source terms pending.</x:v>
      </x:c>
      <x:c r="I15" s="17" t="str">
        <x:v>https://un.china-mission.gov.cn/eng/hyyfy/</x:v>
      </x:c>
      <x:c r="J15" s="17" t="str">
        <x:v>Not acquired</x:v>
      </x:c>
      <x:c r="K15" s="17" t="str"/>
    </x:row>
    <x:row r="16" ht="140" customHeight="1">
      <x:c r="A16" s="17" t="str">
        <x:v>D12</x:v>
      </x:c>
      <x:c r="B16" s="17" t="str">
        <x:v>Germany UN Mission — Speeches and Statements</x:v>
      </x:c>
      <x:c r="C16" s="17" t="str">
        <x:v>P0</x:v>
      </x:c>
      <x:c r="D16" s="17" t="str">
        <x:v>Dated archive</x:v>
      </x:c>
      <x:c r="E16" s="17" t="str">
        <x:v>No audited bulk count</x:v>
      </x:c>
      <x:c r="F16" s="17" t="str">
        <x:v>Live archive inspected</x:v>
      </x:c>
      <x:c r="G16" s="17" t="str">
        <x:v>Germany role evidence and current-policy retrieval</x:v>
      </x:c>
      <x:c r="H16" s="17" t="str">
        <x:v>Source terms pending.</x:v>
      </x:c>
      <x:c r="I16" s="17" t="str">
        <x:v>https://new-york-un.diplo.de/un-en/2290000-2290000</x:v>
      </x:c>
      <x:c r="J16" s="17" t="str">
        <x:v>Not acquired</x:v>
      </x:c>
      <x:c r="K16" s="17" t="str"/>
    </x:row>
    <x:row r="17" ht="140" customHeight="1">
      <x:c r="A17" s="17" t="str">
        <x:v>D13</x:v>
      </x:c>
      <x:c r="B17" s="17" t="str">
        <x:v>German government press conferences</x:v>
      </x:c>
      <x:c r="C17" s="17" t="str">
        <x:v>P1</x:v>
      </x:c>
      <x:c r="D17" s="17" t="str">
        <x:v>Dated official archive; current examples inspected</x:v>
      </x:c>
      <x:c r="E17" s="17" t="str">
        <x:v>No audited bulk count</x:v>
      </x:c>
      <x:c r="F17" s="17" t="str">
        <x:v>Transcript inspected</x:v>
      </x:c>
      <x:c r="G17" s="17" t="str">
        <x:v>German foreign-policy QA; robustness to follow-up questions</x:v>
      </x:c>
      <x:c r="H17" s="17" t="str">
        <x:v>Verify transcript reuse terms.</x:v>
      </x:c>
      <x:c r="I17" s="17" t="str">
        <x:v>https://www.bundesregierung.de/breg-de/aktuelles/regierungspressekonferenz-vom-4-september-2026-2451572</x:v>
      </x:c>
      <x:c r="J17" s="17" t="str">
        <x:v>Not acquired</x:v>
      </x:c>
      <x:c r="K17" s="17" t="str"/>
    </x:row>
    <x:row r="18" ht="140" customHeight="1">
      <x:c r="A18" s="17" t="str">
        <x:v>D14</x:v>
      </x:c>
      <x:c r="B18" s="17" t="str">
        <x:v>UPR Info recommendations database</x:v>
      </x:c>
      <x:c r="C18" s="17" t="str">
        <x:v>P0</x:v>
      </x:c>
      <x:c r="D18" s="17" t="str">
        <x:v>UPR cycles; live database</x:v>
      </x:c>
      <x:c r="E18" s="17" t="str">
        <x:v>Interface displayed 122,743 recommendations; not a downloaded row count</x:v>
      </x:c>
      <x:c r="F18" s="17" t="str">
        <x:v>Live records inspected</x:v>
      </x:c>
      <x:c r="G18" s="17" t="str">
        <x:v>Recommend as country A to country B; predict B’s supported/noted response; multi-agent tasks</x:v>
      </x:c>
      <x:c r="H18" s="17" t="str">
        <x:v>No blanket dataset licence verified; review UPR Info terms.</x:v>
      </x:c>
      <x:c r="I18" s="17" t="str">
        <x:v>https://upr-info-database.uwazi.io/en/library</x:v>
      </x:c>
      <x:c r="J18" s="17" t="str">
        <x:v>Not acquired</x:v>
      </x:c>
      <x:c r="K18" s="17" t="str"/>
    </x:row>
    <x:row r="19" ht="140" customHeight="1">
      <x:c r="A19" s="17" t="str">
        <x:v>D15</x:v>
      </x:c>
      <x:c r="B19" s="17" t="str">
        <x:v>OHCHR Universal Human Rights Index (UHRI)</x:v>
      </x:c>
      <x:c r="C19" s="17" t="str">
        <x:v>P0</x:v>
      </x:c>
      <x:c r="D19" s="17" t="str">
        <x:v>UPR + Treaty Bodies + Special Procedures; updated over time</x:v>
      </x:c>
      <x:c r="E19" s="17" t="str">
        <x:v>No current count audited</x:v>
      </x:c>
      <x:c r="F19" s="17" t="str">
        <x:v>Official export documentation inspected</x:v>
      </x:c>
      <x:c r="G19" s="17" t="str">
        <x:v>Official alternative/addition to D14; mechanism-specific task construction</x:v>
      </x:c>
      <x:c r="H19" s="17" t="str">
        <x:v>Our Data page says freely shared; read Terms of Usage and retain provenance.</x:v>
      </x:c>
      <x:c r="I19" s="17" t="str">
        <x:v>https://uhri.ohchr.org/en/our-data-api</x:v>
      </x:c>
      <x:c r="J19" s="17" t="str">
        <x:v>Not acquired</x:v>
      </x:c>
      <x:c r="K19" s="17" t="str"/>
    </x:row>
    <x:row r="20" ht="140" customHeight="1">
      <x:c r="A20" s="17" t="str">
        <x:v>D16</x:v>
      </x:c>
      <x:c r="B20" s="17" t="str">
        <x:v>Corpus of Resolutions: UN Security Council (CR-UNSC)</x:v>
      </x:c>
      <x:c r="C20" s="17" t="str">
        <x:v>P1</x:v>
      </x:c>
      <x:c r="D20" s="17" t="str">
        <x:v>Latest located release 22 Dec 2025, through resolution 2798</x:v>
      </x:c>
      <x:c r="E20" s="17" t="str">
        <x:v>82 metadata/text variables in paper; full release not downloaded</x:v>
      </x:c>
      <x:c r="F20" s="17" t="str">
        <x:v>Release documentation inspected</x:v>
      </x:c>
      <x:c r="G20" s="17" t="str">
        <x:v>Proposal context for votes; retrieval; citation-linked hard splits; optional domain adaptation</x:v>
      </x:c>
      <x:c r="H20" s="17" t="str">
        <x:v>Authors describe public-domain/open release; verify release-level files and underlying terms.</x:v>
      </x:c>
      <x:c r="I20" s="17" t="str">
        <x:v>https://zenodo.org/records/15154519</x:v>
      </x:c>
      <x:c r="J20" s="17" t="str">
        <x:v>Not acquired</x:v>
      </x:c>
      <x:c r="K20" s="17" t="str"/>
    </x:row>
    <x:row r="21" ht="140" customHeight="1">
      <x:c r="A21" s="17" t="str">
        <x:v>D17</x:v>
      </x:c>
      <x:c r="B21" s="17" t="str">
        <x:v>UNFCCC Article 6 submissions</x:v>
      </x:c>
      <x:c r="C21" s="17" t="str">
        <x:v>P2</x:v>
      </x:c>
      <x:c r="D21" s="17" t="str">
        <x:v>Dated Party/observer submissions</x:v>
      </x:c>
      <x:c r="E21" s="17" t="str">
        <x:v>No audited count</x:v>
      </x:c>
      <x:c r="F21" s="17" t="str">
        <x:v>Official listing inspected</x:v>
      </x:c>
      <x:c r="G21" s="17" t="str">
        <x:v>Climate-specific held-out domain; proposal revision/evidence tasks</x:v>
      </x:c>
      <x:c r="H21" s="17" t="str">
        <x:v>Review UNFCCC/source-specific terms.</x:v>
      </x:c>
      <x:c r="I21" s="17" t="str">
        <x:v>https://unfccc.int/process-and-meetings/the-paris-agreement/the-paris-agreement/cooperative-implementation/submissions-A6-2_A6-4_A6-8</x:v>
      </x:c>
      <x:c r="J21" s="17" t="str">
        <x:v>Not acquired</x:v>
      </x:c>
      <x:c r="K21" s="17" t="str"/>
    </x:row>
    <x:row r="22" ht="140" customHeight="1">
      <x:c r="A22" s="17" t="str">
        <x:v>D18</x:v>
      </x:c>
      <x:c r="B22" s="17" t="str">
        <x:v>UN Parallel Corpus</x:v>
      </x:c>
      <x:c r="C22" s="17" t="str">
        <x:v>P2</x:v>
      </x:c>
      <x:c r="D22" s="17" t="str">
        <x:v>Published UN parallel-document corpus</x:v>
      </x:c>
      <x:c r="E22" s="17" t="str">
        <x:v>No current release count audited</x:v>
      </x:c>
      <x:c r="F22" s="17" t="str">
        <x:v>Paper documentation</x:v>
      </x:c>
      <x:c r="G22" s="17" t="str">
        <x:v>Optional multilingual domain adaptation, not persona supervision</x:v>
      </x:c>
      <x:c r="H22" s="17" t="str">
        <x:v>Verify corpus release terms.</x:v>
      </x:c>
      <x:c r="I22" s="17" t="str">
        <x:v>https://aclanthology.org/L16-1561/</x:v>
      </x:c>
      <x:c r="J22" s="17" t="str">
        <x:v>Not acquired</x:v>
      </x:c>
      <x:c r="K22" s="17" t="str"/>
    </x:row>
    <x:row r="23" ht="140" customHeight="1">
      <x:c r="A23" s="17" t="str">
        <x:v>D19</x:v>
      </x:c>
      <x:c r="B23" s="17" t="str">
        <x:v>RoleBench</x:v>
      </x:c>
      <x:c r="C23" s="17" t="str">
        <x:v>P2</x:v>
      </x:c>
      <x:c r="D23" s="17" t="str">
        <x:v>100 roles; fictional/persona-oriented</x:v>
      </x:c>
      <x:c r="E23" s="17" t="str">
        <x:v>168,093 examples reported by paper</x:v>
      </x:c>
      <x:c r="F23" s="17" t="str">
        <x:v>Schema inspected</x:v>
      </x:c>
      <x:c r="G23" s="17" t="str">
        <x:v>Borrow grounded instruction construction; optional generic role-following comparator</x:v>
      </x:c>
      <x:c r="H23" s="17" t="str">
        <x:v>Dataset card Apache-2.0; underlying source material needs review.</x:v>
      </x:c>
      <x:c r="I23" s="17" t="str">
        <x:v>https://huggingface.co/datasets/ZenMoore/RoleBench</x:v>
      </x:c>
      <x:c r="J23" s="17" t="str">
        <x:v>Not acquired</x:v>
      </x:c>
      <x:c r="K23" s="17" t="str"/>
    </x:row>
    <x:row r="24" ht="140" customHeight="1">
      <x:c r="A24" s="17" t="str">
        <x:v>D20</x:v>
      </x:c>
      <x:c r="B24" s="17" t="str">
        <x:v>OpenCharacter (not Open Character Training)</x:v>
      </x:c>
      <x:c r="C24" s="17" t="str">
        <x:v>P2</x:v>
      </x:c>
      <x:c r="D24" s="17" t="str">
        <x:v>English synthetic personas/dialogue</x:v>
      </x:c>
      <x:c r="E24" s="17" t="str">
        <x:v>20,000 personas and about 306,000 dialogues reported</x:v>
      </x:c>
      <x:c r="F24" s="17" t="str">
        <x:v>File listing + card inspected</x:v>
      </x:c>
      <x:c r="G24" s="17" t="str">
        <x:v>Optional generic role-following reference only</x:v>
      </x:c>
      <x:c r="H24" s="17" t="str">
        <x:v>HF tag Apache-2.0 but card says research usage only; resolve before use.</x:v>
      </x:c>
      <x:c r="I24" s="17" t="str">
        <x:v>https://huggingface.co/datasets/xywang1/OpenCharacter</x:v>
      </x:c>
      <x:c r="J24" s="17" t="str">
        <x:v>Not acquired</x:v>
      </x:c>
      <x:c r="K24" s="17" t="str"/>
    </x:row>
    <x:row r="25" ht="140" customHeight="1">
      <x:c r="A25" s="17" t="str">
        <x:v>D21</x:v>
      </x:c>
      <x:c r="B25" s="17" t="str">
        <x:v>UNSC-Bench</x:v>
      </x:c>
      <x:c r="C25" s="17" t="str">
        <x:v>P0</x:v>
      </x:c>
      <x:c r="D25" s="17" t="str">
        <x:v>P5; 1947–2025</x:v>
      </x:c>
      <x:c r="E25" s="17" t="str">
        <x:v>469 resolutions/adopted or vetoed drafts (paper)</x:v>
      </x:c>
      <x:c r="F25" s="17" t="str">
        <x:v>Paper documentation</x:v>
      </x:c>
      <x:c r="G25" s="17" t="str">
        <x:v>Frozen evaluation; country-vote fidelity and class imbalance</x:v>
      </x:c>
      <x:c r="H25" s="17" t="str">
        <x:v>Dataset release terms pending.</x:v>
      </x:c>
      <x:c r="I25" s="17" t="str">
        <x:v>https://aclanthology.org/2026.mme-main.10/</x:v>
      </x:c>
      <x:c r="J25" s="17" t="str">
        <x:v>Not acquired</x:v>
      </x:c>
      <x:c r="K25" s="17" t="str"/>
    </x:row>
    <x:row r="26" ht="140" customHeight="1">
      <x:c r="A26" s="17" t="str">
        <x:v>D22</x:v>
      </x:c>
      <x:c r="B26" s="17" t="str">
        <x:v>PMC-Patients</x:v>
      </x:c>
      <x:c r="C26" s="17" t="str">
        <x:v>P2</x:v>
      </x:c>
      <x:c r="D26" s="17" t="str">
        <x:v>Published case reports; English</x:v>
      </x:c>
      <x:c r="E26" s="17" t="str">
        <x:v>167,000 summaries; relation labels for retrieval</x:v>
      </x:c>
      <x:c r="F26" s="17" t="str">
        <x:v>Author schema inspected</x:v>
      </x:c>
      <x:c r="G26" s="17" t="str">
        <x:v>Oncology case curation and retrieval development only</x:v>
      </x:c>
      <x:c r="H26" s="17" t="str">
        <x:v>Download requires no DUA per authors; check dataset/source article permissions.</x:v>
      </x:c>
      <x:c r="I26" s="17" t="str">
        <x:v>https://github.com/pmc-patients/pmc-patients</x:v>
      </x:c>
      <x:c r="J26" s="17" t="str">
        <x:v>Not acquired</x:v>
      </x:c>
      <x:c r="K26" s="17" t="str"/>
    </x:row>
    <x:row r="27" ht="140" customHeight="1">
      <x:c r="A27" s="17" t="str">
        <x:v>D23</x:v>
      </x:c>
      <x:c r="B27" s="17" t="str">
        <x:v>PMC-Patients metadata / MeSH</x:v>
      </x:c>
      <x:c r="C27" s="17" t="str">
        <x:v>P2</x:v>
      </x:c>
      <x:c r="D27" s="17" t="str">
        <x:v>Companion files to D22</x:v>
      </x:c>
      <x:c r="E27" s="17" t="str">
        <x:v>No current count audited</x:v>
      </x:c>
      <x:c r="F27" s="17" t="str">
        <x:v>Author dataset card inspected</x:v>
      </x:c>
      <x:c r="G27" s="17" t="str">
        <x:v>Select candidate oncology material; source tracing</x:v>
      </x:c>
      <x:c r="H27" s="17" t="str">
        <x:v>Check matching release terms.</x:v>
      </x:c>
      <x:c r="I27" s="17" t="str">
        <x:v>https://huggingface.co/datasets/zhengyun21/PMC-Patients-MetaData</x:v>
      </x:c>
      <x:c r="J27" s="17" t="str">
        <x:v>Not acquired</x:v>
      </x:c>
      <x:c r="K27" s="17" t="str"/>
    </x:row>
  </x:sheetData>
  <x:mergeCells>
    <x:mergeCell ref="A1:K1"/>
    <x:mergeCell ref="A2:K2"/>
  </x:mergeCells>
  <x:dataValidations count="2">
    <x:dataValidation type="list" sqref="C5:C27">
      <x:formula1>"P0,P1,P2"</x:formula1>
    </x:dataValidation>
    <x:dataValidation type="list" sqref="J5:J27">
      <x:formula1>"Not acquired,Acquired,Schema checked,Rights checked,Approved,Blocked,Eval only"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0688f3f2714a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3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0" hidden="0" customWidth="1"/>
  </x:cols>
  <x:sheetData>
    <x:row r="1" ht="32" customHeight="1">
      <x:c r="A1" s="3" t="str">
        <x:v>COUNTRY PERSONA • RAW DATA CONTRACTS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Exact inspected keys are distinguished from documentation/importer mappings. Proposed training schemas: schemas.md.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2" t="str">
        <x:v>ID</x:v>
      </x:c>
      <x:c r="B4" s="12" t="str">
        <x:v>Source</x:v>
      </x:c>
      <x:c r="C4" s="12" t="str">
        <x:v>Raw format</x:v>
      </x:c>
      <x:c r="D4" s="12" t="str">
        <x:v>Fields / structure</x:v>
      </x:c>
      <x:c r="E4" s="12" t="str">
        <x:v>Evidence level</x:v>
      </x:c>
      <x:c r="F4" s="12" t="str">
        <x:v>Acquisition</x:v>
      </x:c>
      <x:c r="G4" s="12" t="str">
        <x:v>File / code URL</x:v>
      </x:c>
      <x:c r="H4" s="12" t="str">
        <x:v>Limitation</x:v>
      </x:c>
    </x:row>
    <x:row r="5" ht="165" customHeight="1">
      <x:c r="A5" s="17" t="str">
        <x:v>D01</x:v>
      </x:c>
      <x:c r="B5" s="17" t="str">
        <x:v>UNBench</x:v>
      </x:c>
      <x:c r="C5" s="17" t="str">
        <x:v>CSV + nested JSON + draft JSON/PDF folders</x:v>
      </x:c>
      <x:c r="D5" s="17" t="str">
        <x:v>task2.csv: Country,Original_id,Authors,Voting,Date. task4.json: Date,ID,Title,Authors,Content,Statements[{representative,country,statement}]. Draft JSON: Date,ID,Title,Authors,Content.</x:v>
      </x:c>
      <x:c r="E5" s="17" t="str">
        <x:v>Raw schema inspected</x:v>
      </x:c>
      <x:c r="F5" s="17" t="str">
        <x:v>Clone repo for samples. Full archive is linked from README via Google Drive.</x:v>
      </x:c>
      <x:c r="G5" s="17" t="str">
        <x:v>https://raw.githubusercontent.com/yueqingliang1/UNBench/main/data/task2.csv</x:v>
      </x:c>
      <x:c r="H5" s="17" t="str">
        <x:v>task2 needs draft join; task4 includes post-vote speech; overlapping UN corpora. GitHub sample is not the full corpus.</x:v>
      </x:c>
    </x:row>
    <x:row r="6" ht="165" customHeight="1">
      <x:c r="A6" s="17" t="str">
        <x:v>D02</x:v>
      </x:c>
      <x:c r="B6" s="17" t="str">
        <x:v>UNSC Meetings and Speeches</x:v>
      </x:c>
      <x:c r="C6" s="17" t="str">
        <x:v>meetings.tsv + speeches.tsv</x:v>
      </x:c>
      <x:c r="D6" s="17" t="str">
        <x:v>Article describes 23 meeting variables and speaker/affiliation/role fields. Exact TSV headers NOT inspected.</x:v>
      </x:c>
      <x:c r="E6" s="17" t="str">
        <x:v>Documentation inspected</x:v>
      </x:c>
      <x:c r="F6" s="17" t="str">
        <x:v>Harvard Dataverse DOI 10.7910/DVN/CKPTRB; automated access blocked in this inspection.</x:v>
      </x:c>
      <x:c r="G6" s="17" t="str">
        <x:v>https://dataverse.harvard.edu/dataset.xhtml?persistentId=doi:10.7910/DVN/CKPTRB</x:v>
      </x:c>
      <x:c r="H6" s="17" t="str">
        <x:v>Separate national representative, Council president, UN official, and organization roles. Older OCR needs checking.</x:v>
      </x:c>
    </x:row>
    <x:row r="7" ht="165" customHeight="1">
      <x:c r="A7" s="17" t="str">
        <x:v>D03</x:v>
      </x:c>
      <x:c r="B7" s="17" t="str">
        <x:v>UN Security Council Debates</x:v>
      </x:c>
      <x:c r="C7" s="17" t="str">
        <x:v>Author-hosted tabular corpus; raw files not opened</x:v>
      </x:c>
      <x:c r="D7" s="17" t="str">
        <x:v>Speaker affiliation, date and within-meeting sequence documented; exact headers pending.</x:v>
      </x:c>
      <x:c r="E7" s="17" t="str">
        <x:v>Documentation inspected</x:v>
      </x:c>
      <x:c r="F7" s="17" t="str">
        <x:v>Harvard Dataverse DOI 10.7910/DVN/KGVSYH.</x:v>
      </x:c>
      <x:c r="G7" s="17" t="str">
        <x:v>https://dataverse.harvard.edu/dataset.xhtml?persistentId=doi:10.7910/DVN/KGVSYH</x:v>
      </x:c>
      <x:c r="H7" s="17" t="str">
        <x:v>Overlaps D02 and UNBench. Do not sum counts or concatenate without deduplication.</x:v>
      </x:c>
    </x:row>
    <x:row r="8" ht="165" customHeight="1">
      <x:c r="A8" s="17" t="str">
        <x:v>D04</x:v>
      </x:c>
      <x:c r="B8" s="17" t="str">
        <x:v>UNGA Speech Corpus — Speaking Volumes</x:v>
      </x:c>
      <x:c r="C8" s="17" t="str">
        <x:v>ZIP linked from author research page; member files not inspected</x:v>
      </x:c>
      <x:c r="D8" s="17" t="str">
        <x:v>Country-labelled General Assembly speech records; exact schema pending.</x:v>
      </x:c>
      <x:c r="E8" s="17" t="str">
        <x:v>Documentation inspected</x:v>
      </x:c>
      <x:c r="F8" s="17" t="str">
        <x:v>Author page links UNGA-Speech-Corpus-Data.zip on Dropbox.</x:v>
      </x:c>
      <x:c r="G8" s="17" t="str">
        <x:v>https://www.dropbox.com/scl/fi/c4snjc6suhs35erugid4r/UNGA-Speech-Corpus-Data.zip?dl=0&amp;rlkey=dfvwog5ovg00q1u8xipvobjek&amp;st=due2ut8n</x:v>
      </x:c>
      <x:c r="H8" s="17" t="str">
        <x:v>Not the annual General Debate corpus; exact download structure and rights require inspection.</x:v>
      </x:c>
    </x:row>
    <x:row r="9" ht="165" customHeight="1">
      <x:c r="A9" s="17" t="str">
        <x:v>D05</x:v>
      </x:c>
      <x:c r="B9" s="17" t="str">
        <x:v>United Nations General Debate Corpus (UNGDC)</x:v>
      </x:c>
      <x:c r="C9" s="17" t="str">
        <x:v>UTF-8 TXT in tar.gz; filename convention country_session_year.txt</x:v>
      </x:c>
      <x:c r="D9" s="17" t="str">
        <x:v>Example filename pattern: ISO3_session_year.txt. Country/session/year parseable; exact speech date needs a metadata join.</x:v>
      </x:c>
      <x:c r="E9" s="17" t="str">
        <x:v>Importer schema inspected</x:v>
      </x:c>
      <x:c r="F9" s="17" t="str">
        <x:v>Dataverse; documented file ID 13591895, UNGDC_1946-2025.tar.gz; access not tested successfully.</x:v>
      </x:c>
      <x:c r="G9" s="17" t="str">
        <x:v>https://raw.githubusercontent.com/un-project/un-extractor/main/scripts/import_gdebate_corpus.py</x:v>
      </x:c>
      <x:c r="H9" s="17" t="str">
        <x:v>Annual statements are not dialogue. Do not infer precise date from year. Importer release count is not a verified download.</x:v>
      </x:c>
    </x:row>
    <x:row r="10" ht="165" customHeight="1">
      <x:c r="A10" s="17" t="str">
        <x:v>D06</x:v>
      </x:c>
      <x:c r="B10" s="17" t="str">
        <x:v>Official UN General Assembly Voting Data</x:v>
      </x:c>
      <x:c r="C10" s="17" t="str">
        <x:v>2026_02_06_ga_voting.csv + Markdown metadata</x:v>
      </x:c>
      <x:c r="D10" s="17" t="str">
        <x:v>Importer reads undl_id,ms_code,ms_name,ms_vote,meeting,draft,resolution and other metadata. Direct CSV header was not fetched.</x:v>
      </x:c>
      <x:c r="E10" s="17" t="str">
        <x:v>Metadata + importer inspected</x:v>
      </x:c>
      <x:c r="F10" s="17" t="str">
        <x:v>Official Files tab; direct CSV URL in secondary link.</x:v>
      </x:c>
      <x:c r="G10" s="17" t="str">
        <x:v>https://digitallibrary.un.org/record/4060887/files/2026_02_06_ga_voting.csv</x:v>
      </x:c>
      <x:c r="H10" s="17" t="str">
        <x:v>Only adopted resolutions with recorded votes; excludes failed drafts and paragraph votes. X/non-voting is not abstention.</x:v>
      </x:c>
    </x:row>
    <x:row r="11" ht="165" customHeight="1">
      <x:c r="A11" s="17" t="str">
        <x:v>D07</x:v>
      </x:c>
      <x:c r="B11" s="17" t="str">
        <x:v>Official UN Security Council Voting Data</x:v>
      </x:c>
      <x:c r="C11" s="17" t="str">
        <x:v>2026_02_06_sc_voting.csv + metadata</x:v>
      </x:c>
      <x:c r="D11" s="17" t="str">
        <x:v>Importer reads vote fields analogous to D06 and permanent_member. Direct CSV header pending.</x:v>
      </x:c>
      <x:c r="E11" s="17" t="str">
        <x:v>Metadata + importer inspected</x:v>
      </x:c>
      <x:c r="F11" s="17" t="str">
        <x:v>Official Files tab.</x:v>
      </x:c>
      <x:c r="G11" s="17" t="str">
        <x:v>https://digitallibrary.un.org/record/4055387/files/2026_02_06_sc_voting.csv</x:v>
      </x:c>
      <x:c r="H11" s="17" t="str">
        <x:v>Germany is not P5; only evaluate a country in periods where it actually has the relevant voting role. Audit coverage of failed drafts.</x:v>
      </x:c>
    </x:row>
    <x:row r="12" ht="165" customHeight="1">
      <x:c r="A12" s="17" t="str">
        <x:v>D08</x:v>
      </x:c>
      <x:c r="B12" s="17" t="str">
        <x:v>Official General Debate speech metadata</x:v>
      </x:c>
      <x:c r="C12" s="17" t="str">
        <x:v>GA_debate_speech_dataset_20260129.csv</x:v>
      </x:c>
      <x:c r="D12" s="17" t="str">
        <x:v>Importer documents Name,Salutation,Member State,GA Session,Meeting Date,Meeting Symbol,Agenda Items,UNDL ID,UNDL Link.</x:v>
      </x:c>
      <x:c r="E12" s="17" t="str">
        <x:v>Importer schema inspected</x:v>
      </x:c>
      <x:c r="F12" s="17" t="str">
        <x:v>Official record; direct access failed in this environment.</x:v>
      </x:c>
      <x:c r="G12" s="17" t="str">
        <x:v>https://raw.githubusercontent.com/un-project/un-extractor/main/scripts/import_undl_general_debate.py</x:v>
      </x:c>
      <x:c r="H12" s="17" t="str">
        <x:v>Metadata only: not the full speech text. Check one-to-many joins.</x:v>
      </x:c>
    </x:row>
    <x:row r="13" ht="165" customHeight="1">
      <x:c r="A13" s="17" t="str">
        <x:v>D09</x:v>
      </x:c>
      <x:c r="B13" s="17" t="str">
        <x:v>Chinese MFA Press Conferences Corpus</x:v>
      </x:c>
      <x:c r="C13" s="17" t="str">
        <x:v>Tabular corpus on Dataverse; file type/headers not inspected</x:v>
      </x:c>
      <x:c r="D13" s="17" t="str">
        <x:v>Paper describes question, answer, date, spokesperson, original/split IDs, linguistic variants/entities. Literal header names pending.</x:v>
      </x:c>
      <x:c r="E13" s="17" t="str">
        <x:v>Documentation inspected</x:v>
      </x:c>
      <x:c r="F13" s="17" t="str">
        <x:v>Harvard Dataverse DOI 10.7910/DVN/BAKGET; robot check prevented file inspection.</x:v>
      </x:c>
      <x:c r="G13" s="17" t="str">
        <x:v>https://dataverse.harvard.edu/dataset.xhtml?persistentId=doi:10.7910/DVN/BAKGET</x:v>
      </x:c>
      <x:c r="H13" s="17" t="str">
        <x:v>Use original text, not lemmatized variants. Press spokesperson is not identical to UN delegate; label institutional role. Official edited records are not private deliberation.</x:v>
      </x:c>
    </x:row>
    <x:row r="14" ht="165" customHeight="1">
      <x:c r="A14" s="17" t="str">
        <x:v>D10</x:v>
      </x:c>
      <x:c r="B14" s="17" t="str">
        <x:v>Chinese MFA current press-conference archive</x:v>
      </x:c>
      <x:c r="C14" s="17" t="str">
        <x:v>HTML archive -&gt; individual transcripts</x:v>
      </x:c>
      <x:c r="D14" s="17" t="str">
        <x:v>Page title, publication timestamp, journalist/outlet questions, spokesperson answers; requires transcript parser.</x:v>
      </x:c>
      <x:c r="E14" s="17" t="str">
        <x:v>Live archive inspected</x:v>
      </x:c>
      <x:c r="F14" s="17" t="str">
        <x:v>Crawl dated transcript links; do not scrape personal contact blocks.</x:v>
      </x:c>
      <x:c r="G14" s="17" t="str">
        <x:v>https://www.fmprc.gov.cn/eng/xw/fyrbt/lxjzh/202609/t20260902_12015070.html</x:v>
      </x:c>
      <x:c r="H14" s="17" t="str">
        <x:v>Deduplicate embassy/consulate mirrors. Keep questions grouped within one conference and preserve follow-up context.</x:v>
      </x:c>
    </x:row>
    <x:row r="15" ht="165" customHeight="1">
      <x:c r="A15" s="17" t="str">
        <x:v>D11</x:v>
      </x:c>
      <x:c r="B15" s="17" t="str">
        <x:v>China UN Mission — Remarks</x:v>
      </x:c>
      <x:c r="C15" s="17" t="str">
        <x:v>HTML</x:v>
      </x:c>
      <x:c r="D15" s="17" t="str">
        <x:v>Title/date/speaker/body text, sometimes topic or meeting. No standardized export verified.</x:v>
      </x:c>
      <x:c r="E15" s="17" t="str">
        <x:v>Live archive inspected</x:v>
      </x:c>
      <x:c r="F15" s="17" t="str">
        <x:v>Archive links to statement pages.</x:v>
      </x:c>
      <x:c r="G15" s="17" t="str"/>
      <x:c r="H15" s="17" t="str">
        <x:v>Check speaking capacity; exclude boilerplate and duplicates of UN transcripts.</x:v>
      </x:c>
    </x:row>
    <x:row r="16" ht="165" customHeight="1">
      <x:c r="A16" s="17" t="str">
        <x:v>D12</x:v>
      </x:c>
      <x:c r="B16" s="17" t="str">
        <x:v>Germany UN Mission — Speeches and Statements</x:v>
      </x:c>
      <x:c r="C16" s="17" t="str">
        <x:v>HTML</x:v>
      </x:c>
      <x:c r="D16" s="17" t="str">
        <x:v>Title/date/body text; institutional capacity may need extraction from opening statement.</x:v>
      </x:c>
      <x:c r="E16" s="17" t="str">
        <x:v>Live archive inspected</x:v>
      </x:c>
      <x:c r="F16" s="17" t="str">
        <x:v>Archive links to statement pages.</x:v>
      </x:c>
      <x:c r="G16" s="17" t="str"/>
      <x:c r="H16" s="17" t="str">
        <x:v>National, EU, and other group statements must not be conflated.</x:v>
      </x:c>
    </x:row>
    <x:row r="17" ht="165" customHeight="1">
      <x:c r="A17" s="17" t="str">
        <x:v>D13</x:v>
      </x:c>
      <x:c r="B17" s="17" t="str">
        <x:v>German government press conferences</x:v>
      </x:c>
      <x:c r="C17" s="17" t="str">
        <x:v>HTML transcripts in German</x:v>
      </x:c>
      <x:c r="D17" s="17" t="str">
        <x:v>Question / follow-up labels and speaker-labelled answers; identify ministry, e.g. AA for Foreign Office. No bulk schema verified.</x:v>
      </x:c>
      <x:c r="E17" s="17" t="str">
        <x:v>Transcript inspected</x:v>
      </x:c>
      <x:c r="F17" s="17" t="str">
        <x:v>Collect official transcripts; filter relevant ministry and topics.</x:v>
      </x:c>
      <x:c r="G17" s="17" t="str"/>
      <x:c r="H17" s="17" t="str">
        <x:v>Do not label all government answers as Foreign Office or UN policy. Keep German distinct from any translated English derivative.</x:v>
      </x:c>
    </x:row>
    <x:row r="18" ht="165" customHeight="1">
      <x:c r="A18" s="17" t="str">
        <x:v>D14</x:v>
      </x:c>
      <x:c r="B18" s="17" t="str">
        <x:v>UPR Info recommendations database</x:v>
      </x:c>
      <x:c r="C18" s="17" t="str">
        <x:v>Web database with CSV export button</x:v>
      </x:c>
      <x:c r="D18" s="17" t="str">
        <x:v>Visible labels: Recommendation ID,Cycle,Session,State under Review,Recommendation,Recommending State,Action Category,Response,Issues,Date added. Exact CSV headers pending.</x:v>
      </x:c>
      <x:c r="E18" s="17" t="str">
        <x:v>Live records inspected</x:v>
      </x:c>
      <x:c r="F18" s="17" t="str">
        <x:v>Use filtered export; snapshot query, export time and counts. No automated export was run.</x:v>
      </x:c>
      <x:c r="G18" s="17" t="str"/>
      <x:c r="H18" s="17" t="str">
        <x:v>Given vs received recommendations differ. Date added is ingestion time. Supported/noted is not implementation.</x:v>
      </x:c>
    </x:row>
    <x:row r="19" ht="165" customHeight="1">
      <x:c r="A19" s="17" t="str">
        <x:v>D15</x:v>
      </x:c>
      <x:c r="B19" s="17" t="str">
        <x:v>OHCHR Universal Human Rights Index (UHRI)</x:v>
      </x:c>
      <x:c r="C19" s="17" t="str">
        <x:v>Full JSON and Excel downloads; documented REST API access by contact</x:v>
      </x:c>
      <x:c r="D19" s="17" t="str">
        <x:v>Export schemas not inspected; retain mechanism, country, originating entity, recommendation and source document.</x:v>
      </x:c>
      <x:c r="E19" s="17" t="str">
        <x:v>Official export documentation inspected</x:v>
      </x:c>
      <x:c r="F19" s="17" t="str">
        <x:v>Direct JSON/Excel links on page; API documentation available from uhrisupport@ohchr.org.</x:v>
      </x:c>
      <x:c r="G19" s="17" t="str"/>
      <x:c r="H19" s="17" t="str">
        <x:v>Filter UPR for country-to-country tasks. Other mechanisms are not national delegates. OHCHR notes processing gaps.</x:v>
      </x:c>
    </x:row>
    <x:row r="20" ht="165" customHeight="1">
      <x:c r="A20" s="17" t="str">
        <x:v>D16</x:v>
      </x:c>
      <x:c r="B20" s="17" t="str">
        <x:v>Corpus of Resolutions: UN Security Council (CR-UNSC)</x:v>
      </x:c>
      <x:c r="C20" s="17" t="str">
        <x:v>CSV / TXT / PDF / GraphML; latest changelog also lists Parquet</x:v>
      </x:c>
      <x:c r="D20" s="17" t="str">
        <x:v>Exact field names not inspected. Includes resolution texts, drafts, meetings and citation relations.</x:v>
      </x:c>
      <x:c r="E20" s="17" t="str">
        <x:v>Release documentation inspected</x:v>
      </x:c>
      <x:c r="F20" s="17" t="str">
        <x:v>Zenodo record; repeated full-page timeout here.</x:v>
      </x:c>
      <x:c r="G20" s="17" t="str">
        <x:v>https://codeberg.org/SeanFobbe/cr-unsc</x:v>
      </x:c>
      <x:c r="H20" s="17" t="str">
        <x:v>Resolution content is institutional output, not a particular country stance. Older GitHub repo archived; use maintained code location.</x:v>
      </x:c>
    </x:row>
    <x:row r="21" ht="165" customHeight="1">
      <x:c r="A21" s="17" t="str">
        <x:v>D17</x:v>
      </x:c>
      <x:c r="B21" s="17" t="str">
        <x:v>UNFCCC Article 6 submissions</x:v>
      </x:c>
      <x:c r="C21" s="17" t="str">
        <x:v>HTML submission listings + linked documents</x:v>
      </x:c>
      <x:c r="D21" s="17" t="str">
        <x:v>Party or submitting group, date, agenda/topic and document text; exact export schema not verified.</x:v>
      </x:c>
      <x:c r="E21" s="17" t="str">
        <x:v>Official listing inspected</x:v>
      </x:c>
      <x:c r="F21" s="17" t="str">
        <x:v>Follow topic-specific official submission links; snapshot documents and dates.</x:v>
      </x:c>
      <x:c r="G21" s="17" t="str"/>
      <x:c r="H21" s="17" t="str">
        <x:v>Preserve group/coalition identity. A joint submission is not an independent statement by every member.</x:v>
      </x:c>
    </x:row>
    <x:row r="22" ht="165" customHeight="1">
      <x:c r="A22" s="17" t="str">
        <x:v>D18</x:v>
      </x:c>
      <x:c r="B22" s="17" t="str">
        <x:v>UN Parallel Corpus</x:v>
      </x:c>
      <x:c r="C22" s="17" t="str">
        <x:v>Aligned multilingual text; verify exact release packaging</x:v>
      </x:c>
      <x:c r="D22" s="17" t="str">
        <x:v>Document/segment alignment across six official UN languages; not speaker-country labels.</x:v>
      </x:c>
      <x:c r="E22" s="17" t="str">
        <x:v>Paper documentation</x:v>
      </x:c>
      <x:c r="F22" s="17" t="str">
        <x:v>Official UN corpus site; direct download overview unavailable during this inspection.</x:v>
      </x:c>
      <x:c r="G22" s="17" t="str"/>
      <x:c r="H22" s="17" t="str">
        <x:v>Chinese-language text is not Chinese national policy. German is not one of these six corpus languages.</x:v>
      </x:c>
    </x:row>
    <x:row r="23" ht="165" customHeight="1">
      <x:c r="A23" s="17" t="str">
        <x:v>D19</x:v>
      </x:c>
      <x:c r="B23" s="17" t="str">
        <x:v>RoleBench</x:v>
      </x:c>
      <x:c r="C23" s="17" t="str">
        <x:v>JSONL plus profile/dialogue files</x:v>
      </x:c>
      <x:c r="D23" s="17" t="str">
        <x:v>Inspected viewer schema: role:string,question:string,generated:list[string]; role_specific files add type:string.</x:v>
      </x:c>
      <x:c r="E23" s="17" t="str">
        <x:v>Schema inspected</x:v>
      </x:c>
      <x:c r="F23" s="17" t="str">
        <x:v>Explicit data_files for general or role_specific train.jsonl; do not mix schemas blindly.</x:v>
      </x:c>
      <x:c r="G23" s="17" t="str">
        <x:v>https://github.com/InteractiveNLP-Team/RoleLLM-public</x:v>
      </x:c>
      <x:c r="H23" s="17" t="str">
        <x:v>HF aggregate loader reports schema mismatch. Load specific subfolders. Scripts/characters are not country-policy evidence.</x:v>
      </x:c>
    </x:row>
    <x:row r="24" ht="165" customHeight="1">
      <x:c r="A24" s="17" t="str">
        <x:v>D20</x:v>
      </x:c>
      <x:c r="B24" s="17" t="str">
        <x:v>OpenCharacter (not Open Character Training)</x:v>
      </x:c>
      <x:c r="C24" s="17" t="str">
        <x:v>synthetic_character.jsonl; synthetic_dialogue.jsonl</x:v>
      </x:c>
      <x:c r="D24" s="17" t="str">
        <x:v>Two different JSONL collections; record-level fields not inspected.</x:v>
      </x:c>
      <x:c r="E24" s="17" t="str">
        <x:v>File listing + card inspected</x:v>
      </x:c>
      <x:c r="F24" s="17" t="str">
        <x:v>HF Files tab; separate character and dialogue files.</x:v>
      </x:c>
      <x:c r="G24" s="17" t="str">
        <x:v>https://huggingface.co/datasets/xywang1/OpenCharacter/raw/main/README.md</x:v>
      </x:c>
      <x:c r="H24" s="17" t="str">
        <x:v>Not foreign-policy ground truth. Licence tag and research-only disclaimer need reconciliation.</x:v>
      </x:c>
    </x:row>
    <x:row r="25" ht="165" customHeight="1">
      <x:c r="A25" s="17" t="str">
        <x:v>D21</x:v>
      </x:c>
      <x:c r="B25" s="17" t="str">
        <x:v>UNSC-Bench</x:v>
      </x:c>
      <x:c r="C25" s="17" t="str">
        <x:v>Release advertised on Hugging Face; raw schema unverified</x:v>
      </x:c>
      <x:c r="D25" s="17" t="str">
        <x:v>Multilingual resolution inputs and P5 votes; exact field names pending.</x:v>
      </x:c>
      <x:c r="E25" s="17" t="str">
        <x:v>Paper documentation</x:v>
      </x:c>
      <x:c r="F25" s="17" t="str">
        <x:v>Authors advertise UNSC-Bench/UNSC-Bench on HF; endpoint did not load here.</x:v>
      </x:c>
      <x:c r="G25" s="17" t="str">
        <x:v>https://huggingface.co/datasets/UNSC-Bench/UNSC-Bench</x:v>
      </x:c>
      <x:c r="H25" s="17" t="str">
        <x:v>P5 only: not a German vote benchmark. Historical pretraining contamination remains possible.</x:v>
      </x:c>
    </x:row>
    <x:row r="26" ht="165" customHeight="1">
      <x:c r="A26" s="17" t="str">
        <x:v>D22</x:v>
      </x:c>
      <x:c r="B26" s="17" t="str">
        <x:v>PMC-Patients</x:v>
      </x:c>
      <x:c r="C26" s="17" t="str">
        <x:v>PMC-Patients.json: list of objects</x:v>
      </x:c>
      <x:c r="D26" s="17" t="str">
        <x:v>patient_id,patient_uid,PMID,file_path,title,patient,age,gender,relevant_articles,similar_patients. Age is list of value/unit pairs.</x:v>
      </x:c>
      <x:c r="E26" s="17" t="str">
        <x:v>Author schema inspected</x:v>
      </x:c>
      <x:c r="F26" s="17" t="str">
        <x:v>HF or Figshare links from author repo.</x:v>
      </x:c>
      <x:c r="G26" s="17" t="str">
        <x:v>https://huggingface.co/datasets/zhengyun21/PMC-Patients</x:v>
      </x:c>
      <x:c r="H26" s="17" t="str">
        <x:v>Not adjudicated tumor-board therapy labels. Full summaries can expose treatment/outcome. Preserve RWTH 70-case evaluation firewall.</x:v>
      </x:c>
    </x:row>
    <x:row r="27" ht="165" customHeight="1">
      <x:c r="A27" s="17" t="str">
        <x:v>D23</x:v>
      </x:c>
      <x:c r="B27" s="17" t="str">
        <x:v>PMC-Patients metadata / MeSH</x:v>
      </x:c>
      <x:c r="C27" s="17" t="str">
        <x:v>JSON dictionaries/lists</x:v>
      </x:c>
      <x:c r="D27" s="17" t="str">
        <x:v>PMID2Mesh.json maps article IDs to MeSH terms; citation and human-evaluation companion files documented.</x:v>
      </x:c>
      <x:c r="E27" s="17" t="str">
        <x:v>Author dataset card inspected</x:v>
      </x:c>
      <x:c r="F27" s="17" t="str">
        <x:v>Load companion files explicitly; join on PMID.</x:v>
      </x:c>
      <x:c r="G27" s="17" t="str"/>
      <x:c r="H27" s="17" t="str">
        <x:v>Article-topic tags do not by themselves certify patient eligibility or treatment correctness.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f8f293cfedc41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0" hidden="0" customWidth="1"/>
    <x:col min="4" max="4" width="36" hidden="0" customWidth="1"/>
    <x:col min="5" max="5" width="40" hidden="0" customWidth="1"/>
    <x:col min="6" max="6" width="40" hidden="0" customWidth="1"/>
    <x:col min="7" max="7" width="38" hidden="0" customWidth="1"/>
    <x:col min="8" max="8" width="40" hidden="0" customWidth="1"/>
    <x:col min="9" max="9" width="40" hidden="0" customWidth="1"/>
    <x:col min="10" max="10" width="40" hidden="0" customWidth="1"/>
  </x:cols>
  <x:sheetData>
    <x:row r="1" ht="32" customHeight="1">
      <x:c r="A1" s="3" t="str">
        <x:v>COUNTRY PERSONA • PAPERS AND CODE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First: TRL + grounded RoleLLM-style data. Then: Open Character Training preferences and SOTOPIA-π interaction.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2" t="str">
        <x:v>ID</x:v>
      </x:c>
      <x:c r="B4" s="12" t="str">
        <x:v>Method</x:v>
      </x:c>
      <x:c r="C4" s="12" t="str">
        <x:v>Priority</x:v>
      </x:c>
      <x:c r="D4" s="12" t="str">
        <x:v>Reuse</x:v>
      </x:c>
      <x:c r="E4" s="12" t="str">
        <x:v>Implementation</x:v>
      </x:c>
      <x:c r="F4" s="12" t="str">
        <x:v>Entry points</x:v>
      </x:c>
      <x:c r="G4" s="12" t="str">
        <x:v>Format</x:v>
      </x:c>
      <x:c r="H4" s="12" t="str">
        <x:v>Caveat</x:v>
      </x:c>
      <x:c r="I4" s="12" t="str">
        <x:v>Paper / docs</x:v>
      </x:c>
      <x:c r="J4" s="12" t="str">
        <x:v>Code</x:v>
      </x:c>
    </x:row>
    <x:row r="5" ht="170" customHeight="1">
      <x:c r="A5" s="17" t="str">
        <x:v>M01</x:v>
      </x:c>
      <x:c r="B5" s="17" t="str">
        <x:v>TRL + PEFT</x:v>
      </x:c>
      <x:c r="C5" s="17" t="str">
        <x:v>P0</x:v>
      </x:c>
      <x:c r="D5" s="17" t="str">
        <x:v>Main training engine</x:v>
      </x:c>
      <x:c r="E5" s="17" t="str">
        <x:v>Use current SFTTrainer / DPOTrainer, with PEFT adapters</x:v>
      </x:c>
      <x:c r="F5" s="17" t="str">
        <x:v>SFTConfig; SFTTrainer; DPOConfig; DPOTrainer; LoraConfig</x:v>
      </x:c>
      <x:c r="G5" s="17" t="str">
        <x:v>SFT prompt/completion chats; DPO prompt/chosen/rejected chats</x:v>
      </x:c>
      <x:c r="H5" s="17" t="str">
        <x:v>Pin tested versions locally. completion_only_loss avoids supervising prompt turns. Training stub in kit is not GPU-tested.</x:v>
      </x:c>
      <x:c r="I5" s="17" t="str">
        <x:v>https://huggingface.co/docs/trl/main/en/sft_trainer</x:v>
      </x:c>
      <x:c r="J5" s="17" t="str">
        <x:v>https://github.com/huggingface/trl</x:v>
      </x:c>
    </x:row>
    <x:row r="6" ht="170" customHeight="1">
      <x:c r="A6" s="17" t="str">
        <x:v>M02</x:v>
      </x:c>
      <x:c r="B6" s="17" t="str">
        <x:v>Open Character Training</x:v>
      </x:c>
      <x:c r="C6" s="17" t="str">
        <x:v>P0</x:v>
      </x:c>
      <x:c r="D6" s="17" t="str">
        <x:v>Persona persistence / preference method to adapt</x:v>
      </x:c>
      <x:c r="E6" s="17" t="str">
        <x:v>Official pipeline: constitution-based DPO, then introspective SFT</x:v>
      </x:c>
      <x:c r="F6" s="17" t="str">
        <x:v>character/distillation/{gen_prompts,teacher,student,data}.py; character/introspection/{self_reflection,self_interaction,data}.py; finetuning/distillation/{llama,qwen,gemma}.sh</x:v>
      </x:c>
      <x:c r="G6" s="17" t="str">
        <x:v>Official DPO: chosen/rejected full message lists. Introspection: messages list.</x:v>
      </x:c>
      <x:c r="H6" s="17" t="str">
        <x:v>Our simpler SFT→DPO baseline is an adaptation, not the paper order. data.py filters at 1024 tokens; review for long resolutions. Generic introspection is not diplomatic knowledge.</x:v>
      </x:c>
      <x:c r="I6" s="17" t="str">
        <x:v>https://arxiv.org/abs/2511.01689</x:v>
      </x:c>
      <x:c r="J6" s="17" t="str">
        <x:v>https://github.com/maiush/OpenCharacterTraining</x:v>
      </x:c>
    </x:row>
    <x:row r="7" ht="170" customHeight="1">
      <x:c r="A7" s="17" t="str">
        <x:v>M03</x:v>
      </x:c>
      <x:c r="B7" s="17" t="str">
        <x:v>RoleLLM / RoleBench</x:v>
      </x:c>
      <x:c r="C7" s="17" t="str">
        <x:v>P0</x:v>
      </x:c>
      <x:c r="D7" s="17" t="str">
        <x:v>Grounded role-data construction method</x:v>
      </x:c>
      <x:c r="E7" s="17" t="str">
        <x:v>Context-based role knowledge and instruction generation; role-conditioned tuning</x:v>
      </x:c>
      <x:c r="F7" s="17" t="str">
        <x:v>RoleLLM-public repo; RoleBench general and role_specific subfolders</x:v>
      </x:c>
      <x:c r="G7" s="17" t="str">
        <x:v>Raw role/question/generated; role_specific adds type</x:v>
      </x:c>
      <x:c r="H7" s="17" t="str">
        <x:v>Use the construction idea; do not treat fictional character text as national policy or assume all HF subsets share a schema.</x:v>
      </x:c>
      <x:c r="I7" s="17" t="str">
        <x:v>https://arxiv.org/abs/2310.00746</x:v>
      </x:c>
      <x:c r="J7" s="17" t="str">
        <x:v>https://github.com/InteractiveNLP-Team/RoleLLM-public</x:v>
      </x:c>
    </x:row>
    <x:row r="8" ht="170" customHeight="1">
      <x:c r="A8" s="17" t="str">
        <x:v>M04</x:v>
      </x:c>
      <x:c r="B8" s="17" t="str">
        <x:v>SOTOPIA-π</x:v>
      </x:c>
      <x:c r="C8" s="17" t="str">
        <x:v>P1</x:v>
      </x:c>
      <x:c r="D8" s="17" t="str">
        <x:v>Interactive post-training method and harness template</x:v>
      </x:c>
      <x:c r="E8" s="17" t="str">
        <x:v>Behavior cloning + filtered self-interaction trajectories; QLoRA training path</x:v>
      </x:c>
      <x:c r="F8" s="17" t="str">
        <x:v>data_generate/generate_conversations.py; data_process/; llm_self_train/; human_eval/</x:v>
      </x:c>
      <x:c r="G8" s="17" t="str">
        <x:v>Episode data transformed into agent-view training dialogues</x:v>
      </x:c>
      <x:c r="H8" s="17" t="str">
        <x:v>Published setup uses LLM ratings, Redis and older serving/training dependencies. Social success is not authentic diplomatic fidelity. Not a plug-and-play UN benchmark.</x:v>
      </x:c>
      <x:c r="I8" s="17" t="str">
        <x:v>https://aclanthology.org/2024.acl-long.698/</x:v>
      </x:c>
      <x:c r="J8" s="17" t="str">
        <x:v>https://github.com/sotopia-lab/sotopia-pi</x:v>
      </x:c>
    </x:row>
    <x:row r="9" ht="170" customHeight="1">
      <x:c r="A9" s="17" t="str">
        <x:v>M05</x:v>
      </x:c>
      <x:c r="B9" s="17" t="str">
        <x:v>UNBench</x:v>
      </x:c>
      <x:c r="C9" s="17" t="str">
        <x:v>P0</x:v>
      </x:c>
      <x:c r="D9" s="17" t="str">
        <x:v>Task construction and baseline evaluation code</x:v>
      </x:c>
      <x:c r="E9" s="17" t="str">
        <x:v>Linked resolution tasks and evaluator notebooks</x:v>
      </x:c>
      <x:c r="F9" s="17" t="str">
        <x:v>run_task1.ipynb through run_task4.ipynb; data/task2.csv; data/task2/; data/task4.json</x:v>
      </x:c>
      <x:c r="G9" s="17" t="str">
        <x:v>CSV vote rows + JSON resolution and speech records</x:v>
      </x:c>
      <x:c r="H9" s="17" t="str">
        <x:v>Freeze held-out records before adapting data; replace model API calls and inspect post-vote leakage. Public repo has samples only.</x:v>
      </x:c>
      <x:c r="I9" s="17" t="str">
        <x:v>https://arxiv.org/abs/2502.14122</x:v>
      </x:c>
      <x:c r="J9" s="17" t="str">
        <x:v>https://github.com/yueqingliang1/UNBench</x:v>
      </x:c>
    </x:row>
    <x:row r="10" ht="170" customHeight="1">
      <x:c r="A10" s="17" t="str">
        <x:v>M06</x:v>
      </x:c>
      <x:c r="B10" s="17" t="str">
        <x:v>UNSC-Bench</x:v>
      </x:c>
      <x:c r="C10" s="17" t="str">
        <x:v>P0</x:v>
      </x:c>
      <x:c r="D10" s="17" t="str">
        <x:v>Role-fidelity evaluation design</x:v>
      </x:c>
      <x:c r="E10" s="17" t="str">
        <x:v>Country-conditioned vote evaluation with multilingual controls</x:v>
      </x:c>
      <x:c r="F10" s="17" t="str">
        <x:v>Paper + advertised HF release; code/raw schema not verified</x:v>
      </x:c>
      <x:c r="G10" s="17" t="str">
        <x:v>Resolution text and P5 vote labels</x:v>
      </x:c>
      <x:c r="H10" s="17" t="str">
        <x:v>Do not imply German coverage or ready-to-run code where it was not inspected.</x:v>
      </x:c>
      <x:c r="I10" s="17" t="str">
        <x:v>https://aclanthology.org/2026.mme-main.10/</x:v>
      </x:c>
      <x:c r="J10" s="17" t="str">
        <x:v>https://huggingface.co/datasets/UNSC-Bench/UNSC-Bench</x:v>
      </x:c>
    </x:row>
    <x:row r="11" ht="170" customHeight="1">
      <x:c r="A11" s="17" t="str">
        <x:v>M07</x:v>
      </x:c>
      <x:c r="B11" s="17" t="str">
        <x:v>un-project/un-extractor</x:v>
      </x:c>
      <x:c r="C11" s="17" t="str">
        <x:v>P1</x:v>
      </x:c>
      <x:c r="D11" s="17" t="str">
        <x:v>Ingestion code to inspect, not training engine</x:v>
      </x:c>
      <x:c r="E11" s="17" t="str">
        <x:v>Official CSV imports and document extraction with relational storage</x:v>
      </x:c>
      <x:c r="F11" s="17" t="str">
        <x:v>scripts/import_undl_votes.py; import_gdebate_corpus.py; import_undl_general_debate.py</x:v>
      </x:c>
      <x:c r="G11" s="17" t="str">
        <x:v>Official CSV; UNGDC tar/TXT; structured document/speech DB</x:v>
      </x:c>
      <x:c r="H11" s="17" t="str">
        <x:v>Third-party repo inspected, not executed. Do not trust all automatic entity/date repairs without sample audit; licence review pending.</x:v>
      </x:c>
      <x:c r="I11" s="17" t="str">
        <x:v>https://github.com/un-project/un-extractor</x:v>
      </x:c>
      <x:c r="J11" s="17" t="str">
        <x:v>https://github.com/un-project/un-extractor</x:v>
      </x:c>
    </x:row>
    <x:row r="12" ht="170" customHeight="1">
      <x:c r="A12" s="17" t="str">
        <x:v>M08</x:v>
      </x:c>
      <x:c r="B12" s="17" t="str">
        <x:v>CR-UNSC source code</x:v>
      </x:c>
      <x:c r="C12" s="17" t="str">
        <x:v>P1</x:v>
      </x:c>
      <x:c r="D12" s="17" t="str">
        <x:v>Resolution/draft/citation ingestion</x:v>
      </x:c>
      <x:c r="E12" s="17" t="str">
        <x:v>R acquisition and processing pipeline; maintained Codeberg location</x:v>
      </x:c>
      <x:c r="F12" s="17" t="str">
        <x:v>Release documentation; R source; archived GitHub mirror</x:v>
      </x:c>
      <x:c r="G12" s="17" t="str">
        <x:v>CSV / TXT / GraphML and companion formats</x:v>
      </x:c>
      <x:c r="H12" s="17" t="str">
        <x:v>Verify current release and terms. Citation-connected component splitting can create giant groups; define practical resolution lineages.</x:v>
      </x:c>
      <x:c r="I12" s="17" t="str">
        <x:v>https://zenodo.org/records/15191558</x:v>
      </x:c>
      <x:c r="J12" s="17" t="str">
        <x:v>https://codeberg.org/SeanFobbe/cr-unsc</x:v>
      </x:c>
    </x:row>
    <x:row r="13" ht="170" customHeight="1">
      <x:c r="A13" s="17" t="str">
        <x:v>M09</x:v>
      </x:c>
      <x:c r="B13" s="17" t="str">
        <x:v>OpenCharacter</x:v>
      </x:c>
      <x:c r="C13" s="17" t="str">
        <x:v>P2</x:v>
      </x:c>
      <x:c r="D13" s="17" t="str">
        <x:v>Optional generic role-playing comparison</x:v>
      </x:c>
      <x:c r="E13" s="17" t="str">
        <x:v>Synthetic persona/dialogue supervised fine-tuning</x:v>
      </x:c>
      <x:c r="F13" s="17" t="str">
        <x:v>Separate synthetic_character.jsonl and synthetic_dialogue.jsonl</x:v>
      </x:c>
      <x:c r="G13" s="17" t="str">
        <x:v>Two distinct JSONL schemas; exact records pending inspection</x:v>
      </x:c>
      <x:c r="H13" s="17" t="str">
        <x:v>Different project from Open Character Training; licence ambiguity; synthetic persona diversity is not policy fidelity.</x:v>
      </x:c>
      <x:c r="I13" s="17" t="str">
        <x:v>https://arxiv.org/abs/2501.15427</x:v>
      </x:c>
      <x:c r="J13" s="17" t="str">
        <x:v>https://huggingface.co/datasets/xywang1/OpenCharacter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18ed1db968546a7"/>
  </x:tableParts>
</x:worksheet>
</file>